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ell\OneDrive\Desktop\py\"/>
    </mc:Choice>
  </mc:AlternateContent>
  <xr:revisionPtr revIDLastSave="0" documentId="13_ncr:1_{2345AE47-CAC2-49DD-A541-BF2018197F3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ورقة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2" i="1"/>
  <c r="H60" i="1"/>
  <c r="F60" i="1"/>
  <c r="F59" i="1"/>
  <c r="F58" i="1"/>
  <c r="H58" i="1" s="1"/>
  <c r="H57" i="1"/>
  <c r="F57" i="1"/>
  <c r="H56" i="1"/>
  <c r="F56" i="1"/>
  <c r="F55" i="1"/>
  <c r="H55" i="1" s="1"/>
  <c r="F54" i="1"/>
  <c r="H54" i="1" s="1"/>
  <c r="H53" i="1"/>
  <c r="F53" i="1"/>
  <c r="H52" i="1"/>
  <c r="F52" i="1"/>
  <c r="F51" i="1"/>
  <c r="H51" i="1" s="1"/>
  <c r="F50" i="1"/>
  <c r="H50" i="1" s="1"/>
  <c r="H49" i="1"/>
  <c r="F49" i="1"/>
  <c r="H48" i="1"/>
  <c r="F48" i="1"/>
  <c r="F47" i="1"/>
  <c r="F46" i="1"/>
  <c r="H46" i="1" s="1"/>
  <c r="H45" i="1"/>
  <c r="F45" i="1"/>
  <c r="H44" i="1"/>
  <c r="F44" i="1"/>
  <c r="F43" i="1"/>
  <c r="H43" i="1" s="1"/>
  <c r="F42" i="1"/>
  <c r="H42" i="1" s="1"/>
  <c r="H41" i="1"/>
  <c r="F41" i="1"/>
  <c r="H40" i="1"/>
  <c r="F40" i="1"/>
  <c r="F39" i="1"/>
  <c r="H39" i="1" s="1"/>
  <c r="F38" i="1"/>
  <c r="H38" i="1" s="1"/>
  <c r="H37" i="1"/>
  <c r="F37" i="1"/>
  <c r="H36" i="1"/>
  <c r="F36" i="1"/>
  <c r="F35" i="1"/>
  <c r="F34" i="1"/>
  <c r="H34" i="1" s="1"/>
  <c r="H33" i="1"/>
  <c r="F33" i="1"/>
  <c r="H32" i="1"/>
  <c r="F32" i="1"/>
  <c r="F31" i="1"/>
  <c r="H31" i="1" s="1"/>
  <c r="F30" i="1"/>
  <c r="H30" i="1" s="1"/>
  <c r="H29" i="1"/>
  <c r="F29" i="1"/>
  <c r="H28" i="1"/>
  <c r="F28" i="1"/>
  <c r="F27" i="1"/>
  <c r="H27" i="1" s="1"/>
  <c r="F26" i="1"/>
  <c r="H26" i="1" s="1"/>
  <c r="H25" i="1"/>
  <c r="F25" i="1"/>
  <c r="H24" i="1"/>
  <c r="F24" i="1"/>
  <c r="F23" i="1"/>
  <c r="H23" i="1" s="1"/>
  <c r="F22" i="1"/>
  <c r="H22" i="1" s="1"/>
  <c r="H21" i="1"/>
  <c r="F21" i="1"/>
  <c r="H20" i="1"/>
  <c r="F20" i="1"/>
  <c r="F19" i="1"/>
  <c r="H19" i="1" s="1"/>
  <c r="F18" i="1"/>
  <c r="H18" i="1" s="1"/>
  <c r="H17" i="1"/>
  <c r="F17" i="1"/>
  <c r="H16" i="1"/>
  <c r="F16" i="1"/>
  <c r="F15" i="1"/>
  <c r="F14" i="1"/>
  <c r="H14" i="1" s="1"/>
  <c r="H13" i="1"/>
  <c r="F13" i="1"/>
  <c r="H12" i="1"/>
  <c r="F12" i="1"/>
  <c r="F11" i="1"/>
  <c r="F10" i="1"/>
  <c r="H10" i="1" s="1"/>
  <c r="H9" i="1"/>
  <c r="F9" i="1"/>
  <c r="H8" i="1"/>
  <c r="F8" i="1"/>
  <c r="F7" i="1"/>
  <c r="H7" i="1" s="1"/>
  <c r="F6" i="1"/>
  <c r="H6" i="1" s="1"/>
  <c r="H5" i="1"/>
  <c r="F5" i="1"/>
  <c r="H4" i="1"/>
  <c r="F4" i="1"/>
  <c r="F3" i="1"/>
  <c r="H3" i="1" s="1"/>
  <c r="F2" i="1"/>
  <c r="H2" i="1" s="1"/>
  <c r="H11" i="1" l="1"/>
  <c r="H15" i="1"/>
  <c r="H35" i="1"/>
  <c r="H47" i="1"/>
  <c r="H59" i="1"/>
</calcChain>
</file>

<file path=xl/sharedStrings.xml><?xml version="1.0" encoding="utf-8"?>
<sst xmlns="http://schemas.openxmlformats.org/spreadsheetml/2006/main" count="67" uniqueCount="67">
  <si>
    <t>الرقم</t>
  </si>
  <si>
    <t>الاسم</t>
  </si>
  <si>
    <t>امتحان الفصل الأول</t>
  </si>
  <si>
    <t>امتحان الفصل الثاني</t>
  </si>
  <si>
    <t>امتحان الفصل الاخبر</t>
  </si>
  <si>
    <t>المعدل العام</t>
  </si>
  <si>
    <t>الرتبة</t>
  </si>
  <si>
    <t>القرار</t>
  </si>
  <si>
    <t>شامخ ولد محمد الأمين</t>
  </si>
  <si>
    <t>محمد محمود ولد يحظيه</t>
  </si>
  <si>
    <t>لمين ولد شغالي</t>
  </si>
  <si>
    <t>أحمد سالم ولد مصطاف</t>
  </si>
  <si>
    <t>الولي ولد مصطاف</t>
  </si>
  <si>
    <t>الطالب أحمد ولد اسويدات</t>
  </si>
  <si>
    <t>محمد ولد الطيب</t>
  </si>
  <si>
    <t>السالم ولد عالي</t>
  </si>
  <si>
    <t>أم الخير بنت باب</t>
  </si>
  <si>
    <t>ادو ولد سعيدو</t>
  </si>
  <si>
    <t>سيدي ولد باب</t>
  </si>
  <si>
    <t>العربي ولد أحمد</t>
  </si>
  <si>
    <t>المصطف ولد عالي</t>
  </si>
  <si>
    <t>إدريس يوروبا</t>
  </si>
  <si>
    <t>سيدنا ولد محمد المختار</t>
  </si>
  <si>
    <t>محمد ولد الحسين</t>
  </si>
  <si>
    <t>سالم فال ولد محمد فال</t>
  </si>
  <si>
    <t>عيشة بنت حد</t>
  </si>
  <si>
    <t>سيدي محمد ولد اخليف</t>
  </si>
  <si>
    <t>ديدي ولد الشيخ</t>
  </si>
  <si>
    <t>القاسم ولد محمدو</t>
  </si>
  <si>
    <t>حدو ولد سيدي محمود</t>
  </si>
  <si>
    <t>الحسين ولد محمد الزين</t>
  </si>
  <si>
    <t>يسلم ولد الشيخ</t>
  </si>
  <si>
    <t>ملعينين ولد محمد لبات</t>
  </si>
  <si>
    <t>سليمان ولد أبو</t>
  </si>
  <si>
    <t>زينب بنت محمد الأمين</t>
  </si>
  <si>
    <t>فاطمة بنت محمد الأمين</t>
  </si>
  <si>
    <t>منة بنت الشيخ محمد</t>
  </si>
  <si>
    <t>القاله بنت محمد الراظي</t>
  </si>
  <si>
    <t>مريم بنت محمد عبد الله</t>
  </si>
  <si>
    <t>جاري بنت إبراهيم</t>
  </si>
  <si>
    <t>غولو بنت سوليبا</t>
  </si>
  <si>
    <t>كمب بنت ممادو</t>
  </si>
  <si>
    <t>ميمونة بنت عبد السلام</t>
  </si>
  <si>
    <t>لمانه بنت ايده</t>
  </si>
  <si>
    <t>تسلم بنت الديماني</t>
  </si>
  <si>
    <t>زينب بنت حم</t>
  </si>
  <si>
    <t>سمية بنت محمد الأمين</t>
  </si>
  <si>
    <t>غايه بنت محمد غلام</t>
  </si>
  <si>
    <t xml:space="preserve">حليمة بنت محمود </t>
  </si>
  <si>
    <t>أمل بنت مصطاف</t>
  </si>
  <si>
    <t>فاطمة بنت جاكلي</t>
  </si>
  <si>
    <t>مريم بنت سيدي مختار</t>
  </si>
  <si>
    <t>يمه بنت العربي</t>
  </si>
  <si>
    <t xml:space="preserve">فاطمة بنت محمد </t>
  </si>
  <si>
    <t>ميته بنت محمد الأمين</t>
  </si>
  <si>
    <t>منة بنت داهي</t>
  </si>
  <si>
    <t>فاطمة بنت عالي</t>
  </si>
  <si>
    <t>سيدي إبراهيم ولد جالو</t>
  </si>
  <si>
    <t xml:space="preserve">الغايه بنت محمد </t>
  </si>
  <si>
    <t>نسيم بنت احمدناه</t>
  </si>
  <si>
    <t>ربيعة بنت الشيخ أحمد</t>
  </si>
  <si>
    <t>رامة بنت عثمان</t>
  </si>
  <si>
    <t>يوسف ولد بوبكر</t>
  </si>
  <si>
    <t>سيدي عالي ولد العربي</t>
  </si>
  <si>
    <t>مريم بنت مصطفى</t>
  </si>
  <si>
    <t>الحسن ولد بوبكر</t>
  </si>
  <si>
    <t>فريدة محمد الأمين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</si>
</sst>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</cellXfs>
  <cellStyles count="1">
    <cellStyle name="عادي" xfId="0" builtinId="0"/>
  </cellStyles>
  <dxfs count="0"/>
  <tableStyles count="1" defaultTableStyle="TableStyleMedium2" defaultPivotStyle="PivotStyleLight16">
    <tableStyle name="Invisible" pivot="0" table="0" count="0" xr9:uid="{DA0B9F78-FA94-46ED-92A5-5E4F898309E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1"/>
  <sheetViews>
    <sheetView rightToLeft="1" tabSelected="1" workbookViewId="0">
      <selection activeCell="H1" sqref="H1:H1048576"/>
    </sheetView>
  </sheetViews>
  <sheetFormatPr defaultRowHeight="13.8" x14ac:dyDescent="0.25"/>
  <cols>
    <col min="2" max="2" width="16.09765625" customWidth="1"/>
    <col min="3" max="3" width="17.09765625" customWidth="1"/>
    <col min="4" max="4" width="13.8984375" customWidth="1"/>
    <col min="5" max="5" width="12.3984375" customWidth="1"/>
    <col min="6" max="6" width="14.69921875" customWidth="1"/>
    <col min="7" max="7" width="17.69921875" customWidth="1"/>
    <col min="8" max="8" width="12.19921875" customWidth="1"/>
  </cols>
  <sheetData>
    <row r="1" spans="1:8" ht="15" thickTop="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ht="15" thickTop="1" thickBot="1" x14ac:dyDescent="0.3">
      <c r="A2" s="1">
        <v>1</v>
      </c>
      <c r="B2" s="1" t="s">
        <v>8</v>
      </c>
      <c r="C2" s="3">
        <v>6.7</v>
      </c>
      <c r="D2" s="3">
        <v>12.7</v>
      </c>
      <c r="E2" s="4">
        <v>12.7</v>
      </c>
      <c r="F2" s="3">
        <f t="shared" ref="F2:F60" si="0">AVERAGE(C2:E2)</f>
        <v>10.699999999999998</v>
      </c>
      <c r="G2" s="1">
        <f>RANK(F2,$F$2:$F$68)</f>
        <v>22</v>
      </c>
      <c r="H2" s="1" t="str">
        <f>IF(F2&gt;=8,"ناجح بتقدير مقبول","راسب")</f>
        <v>ناجح بتقدير مقبول</v>
      </c>
    </row>
    <row r="3" spans="1:8" ht="15" thickTop="1" thickBot="1" x14ac:dyDescent="0.3">
      <c r="A3" s="1">
        <v>2</v>
      </c>
      <c r="B3" s="1" t="s">
        <v>9</v>
      </c>
      <c r="C3" s="3">
        <v>6.5</v>
      </c>
      <c r="D3" s="3">
        <v>9.1999999999999993</v>
      </c>
      <c r="E3" s="4">
        <v>5.9</v>
      </c>
      <c r="F3" s="3">
        <f t="shared" si="0"/>
        <v>7.2</v>
      </c>
      <c r="G3" s="1">
        <f t="shared" ref="G3:G60" si="1">RANK(F3,$F$2:$F$68)</f>
        <v>36</v>
      </c>
      <c r="H3" s="1" t="str">
        <f>IF(F3&gt;=8,"ناجح","راسب")</f>
        <v>راسب</v>
      </c>
    </row>
    <row r="4" spans="1:8" ht="15" thickTop="1" thickBot="1" x14ac:dyDescent="0.3">
      <c r="A4" s="1">
        <v>3</v>
      </c>
      <c r="B4" s="1" t="s">
        <v>10</v>
      </c>
      <c r="C4" s="3">
        <v>6.2</v>
      </c>
      <c r="D4" s="3">
        <v>6.8</v>
      </c>
      <c r="E4" s="4">
        <v>7.1</v>
      </c>
      <c r="F4" s="3">
        <f t="shared" si="0"/>
        <v>6.7</v>
      </c>
      <c r="G4" s="1">
        <f t="shared" si="1"/>
        <v>40</v>
      </c>
      <c r="H4" s="1" t="str">
        <f>IF(F4&gt;=8,"ناجح","راسب")</f>
        <v>راسب</v>
      </c>
    </row>
    <row r="5" spans="1:8" ht="15" thickTop="1" thickBot="1" x14ac:dyDescent="0.3">
      <c r="A5" s="1">
        <v>4</v>
      </c>
      <c r="B5" s="1" t="s">
        <v>11</v>
      </c>
      <c r="C5" s="3">
        <v>7.3</v>
      </c>
      <c r="D5" s="3">
        <v>11.2</v>
      </c>
      <c r="E5" s="4">
        <v>9.85</v>
      </c>
      <c r="F5" s="3">
        <f t="shared" si="0"/>
        <v>9.4500000000000011</v>
      </c>
      <c r="G5" s="1">
        <f t="shared" si="1"/>
        <v>25</v>
      </c>
      <c r="H5" s="1" t="str">
        <f>IF(F5&gt;=8,"ناجح ملحق","راسب")</f>
        <v>ناجح ملحق</v>
      </c>
    </row>
    <row r="6" spans="1:8" ht="15" thickTop="1" thickBot="1" x14ac:dyDescent="0.3">
      <c r="A6" s="1">
        <v>5</v>
      </c>
      <c r="B6" s="1" t="s">
        <v>12</v>
      </c>
      <c r="C6" s="3">
        <v>15.3</v>
      </c>
      <c r="D6" s="3">
        <v>16.899999999999999</v>
      </c>
      <c r="E6" s="4">
        <v>15.6</v>
      </c>
      <c r="F6" s="3">
        <f t="shared" si="0"/>
        <v>15.933333333333335</v>
      </c>
      <c r="G6" s="1">
        <f t="shared" si="1"/>
        <v>4</v>
      </c>
      <c r="H6" s="1" t="str">
        <f>IF(F6&gt;=8," ناجح بتقدير متفوق ","راسب")</f>
        <v xml:space="preserve"> ناجح بتقدير متفوق </v>
      </c>
    </row>
    <row r="7" spans="1:8" ht="15" thickTop="1" thickBot="1" x14ac:dyDescent="0.3">
      <c r="A7" s="1">
        <v>6</v>
      </c>
      <c r="B7" s="1" t="s">
        <v>13</v>
      </c>
      <c r="C7" s="3">
        <v>10.55</v>
      </c>
      <c r="D7" s="3">
        <v>11.6</v>
      </c>
      <c r="E7" s="4">
        <v>11.1</v>
      </c>
      <c r="F7" s="3">
        <f t="shared" si="0"/>
        <v>11.083333333333334</v>
      </c>
      <c r="G7" s="1">
        <f t="shared" si="1"/>
        <v>18</v>
      </c>
      <c r="H7" s="1" t="str">
        <f>IF(F7&gt;=8,"ناجح بتقدير جيد","راسب")</f>
        <v>ناجح بتقدير جيد</v>
      </c>
    </row>
    <row r="8" spans="1:8" ht="15" thickTop="1" thickBot="1" x14ac:dyDescent="0.3">
      <c r="A8" s="1">
        <v>7</v>
      </c>
      <c r="B8" s="1" t="s">
        <v>14</v>
      </c>
      <c r="C8" s="3">
        <v>11.95</v>
      </c>
      <c r="D8" s="3">
        <v>15.6</v>
      </c>
      <c r="E8" s="4">
        <v>12.2</v>
      </c>
      <c r="F8" s="3">
        <f t="shared" si="0"/>
        <v>13.25</v>
      </c>
      <c r="G8" s="1">
        <f t="shared" si="1"/>
        <v>7</v>
      </c>
      <c r="H8" s="1" t="str">
        <f>IF(F8&gt;=8,"ناجح بتقدير جيد","راسب")</f>
        <v>ناجح بتقدير جيد</v>
      </c>
    </row>
    <row r="9" spans="1:8" ht="15" thickTop="1" thickBot="1" x14ac:dyDescent="0.3">
      <c r="A9" s="1">
        <v>8</v>
      </c>
      <c r="B9" s="1" t="s">
        <v>15</v>
      </c>
      <c r="C9" s="3"/>
      <c r="D9" s="3">
        <v>0</v>
      </c>
      <c r="E9" s="4">
        <v>0</v>
      </c>
      <c r="F9" s="3">
        <f t="shared" si="0"/>
        <v>0</v>
      </c>
      <c r="G9" s="1">
        <f t="shared" si="1"/>
        <v>59</v>
      </c>
      <c r="H9" s="1" t="str">
        <f>IF(F9&gt;=8,"ناجح","راسب")</f>
        <v>راسب</v>
      </c>
    </row>
    <row r="10" spans="1:8" ht="15" thickTop="1" thickBot="1" x14ac:dyDescent="0.3">
      <c r="A10" s="1">
        <v>9</v>
      </c>
      <c r="B10" s="1" t="s">
        <v>16</v>
      </c>
      <c r="C10" s="3">
        <v>7.8</v>
      </c>
      <c r="D10" s="3">
        <v>11.2</v>
      </c>
      <c r="E10" s="4">
        <v>8.8000000000000007</v>
      </c>
      <c r="F10" s="3">
        <f t="shared" si="0"/>
        <v>9.2666666666666675</v>
      </c>
      <c r="G10" s="1">
        <f t="shared" si="1"/>
        <v>28</v>
      </c>
      <c r="H10" s="1" t="str">
        <f>IF(F10&gt;=8,"ناجح ملحق","راسب")</f>
        <v>ناجح ملحق</v>
      </c>
    </row>
    <row r="11" spans="1:8" ht="15" thickTop="1" thickBot="1" x14ac:dyDescent="0.3">
      <c r="A11" s="1">
        <v>10</v>
      </c>
      <c r="B11" s="1" t="s">
        <v>17</v>
      </c>
      <c r="C11" s="3">
        <v>6.05</v>
      </c>
      <c r="D11" s="3">
        <v>9.1999999999999993</v>
      </c>
      <c r="E11" s="4">
        <v>7.5</v>
      </c>
      <c r="F11" s="3">
        <f t="shared" si="0"/>
        <v>7.583333333333333</v>
      </c>
      <c r="G11" s="1">
        <f t="shared" si="1"/>
        <v>32</v>
      </c>
      <c r="H11" s="1" t="str">
        <f>IF(F11&gt;=8,"ناجح","راسب")</f>
        <v>راسب</v>
      </c>
    </row>
    <row r="12" spans="1:8" ht="15" thickTop="1" thickBot="1" x14ac:dyDescent="0.3">
      <c r="A12" s="1">
        <v>11</v>
      </c>
      <c r="B12" s="1" t="s">
        <v>18</v>
      </c>
      <c r="C12" s="3">
        <v>16.649999999999999</v>
      </c>
      <c r="D12" s="3">
        <v>17.100000000000001</v>
      </c>
      <c r="E12" s="4">
        <v>15.5</v>
      </c>
      <c r="F12" s="3">
        <f t="shared" si="0"/>
        <v>16.416666666666668</v>
      </c>
      <c r="G12" s="1">
        <f t="shared" si="1"/>
        <v>2</v>
      </c>
      <c r="H12" s="1" t="str">
        <f>IF(F12&gt;=8,"ناجح بتقدير متميز","راسب")</f>
        <v>ناجح بتقدير متميز</v>
      </c>
    </row>
    <row r="13" spans="1:8" ht="15" thickTop="1" thickBot="1" x14ac:dyDescent="0.3">
      <c r="A13" s="1">
        <v>12</v>
      </c>
      <c r="B13" s="1" t="s">
        <v>19</v>
      </c>
      <c r="C13" s="3">
        <v>10.6</v>
      </c>
      <c r="D13" s="3">
        <v>11.9</v>
      </c>
      <c r="E13" s="4">
        <v>11.3</v>
      </c>
      <c r="F13" s="3">
        <f t="shared" si="0"/>
        <v>11.266666666666666</v>
      </c>
      <c r="G13" s="1">
        <f t="shared" si="1"/>
        <v>16</v>
      </c>
      <c r="H13" s="1" t="str">
        <f>IF(F13&gt;=8,"ناجح بتقدير جيد","راسب")</f>
        <v>ناجح بتقدير جيد</v>
      </c>
    </row>
    <row r="14" spans="1:8" ht="15" thickTop="1" thickBot="1" x14ac:dyDescent="0.3">
      <c r="A14" s="1">
        <v>13</v>
      </c>
      <c r="B14" s="1" t="s">
        <v>20</v>
      </c>
      <c r="C14" s="3">
        <v>1.7</v>
      </c>
      <c r="D14" s="3">
        <v>7</v>
      </c>
      <c r="E14" s="4">
        <v>0</v>
      </c>
      <c r="F14" s="3">
        <f t="shared" si="0"/>
        <v>2.9</v>
      </c>
      <c r="G14" s="1">
        <f t="shared" si="1"/>
        <v>54</v>
      </c>
      <c r="H14" s="1" t="str">
        <f>IF(F14&gt;=8,"ناجح","راسب")</f>
        <v>راسب</v>
      </c>
    </row>
    <row r="15" spans="1:8" ht="15" thickTop="1" thickBot="1" x14ac:dyDescent="0.3">
      <c r="A15" s="1">
        <v>14</v>
      </c>
      <c r="B15" s="1" t="s">
        <v>21</v>
      </c>
      <c r="C15" s="3">
        <v>0</v>
      </c>
      <c r="D15" s="3">
        <v>5.5</v>
      </c>
      <c r="E15" s="4">
        <v>6.8</v>
      </c>
      <c r="F15" s="3">
        <f t="shared" si="0"/>
        <v>4.1000000000000005</v>
      </c>
      <c r="G15" s="1">
        <f t="shared" si="1"/>
        <v>52</v>
      </c>
      <c r="H15" s="1" t="str">
        <f>IF(F15&gt;=8,"ناجح","راسب")</f>
        <v>راسب</v>
      </c>
    </row>
    <row r="16" spans="1:8" ht="15" thickTop="1" thickBot="1" x14ac:dyDescent="0.3">
      <c r="A16" s="1">
        <v>15</v>
      </c>
      <c r="B16" s="1" t="s">
        <v>22</v>
      </c>
      <c r="C16" s="3">
        <v>6.4</v>
      </c>
      <c r="D16" s="3">
        <v>8.1999999999999993</v>
      </c>
      <c r="E16" s="4">
        <v>7.2</v>
      </c>
      <c r="F16" s="3">
        <f t="shared" si="0"/>
        <v>7.2666666666666666</v>
      </c>
      <c r="G16" s="1">
        <f t="shared" si="1"/>
        <v>35</v>
      </c>
      <c r="H16" s="1" t="str">
        <f>IF(F16&gt;=8,"ناجح","راسب")</f>
        <v>راسب</v>
      </c>
    </row>
    <row r="17" spans="1:8" ht="15" thickTop="1" thickBot="1" x14ac:dyDescent="0.3">
      <c r="A17" s="1">
        <v>16</v>
      </c>
      <c r="B17" s="1" t="s">
        <v>23</v>
      </c>
      <c r="C17" s="3">
        <v>2.2999999999999998</v>
      </c>
      <c r="D17" s="3">
        <v>1.5</v>
      </c>
      <c r="E17" s="4">
        <v>0</v>
      </c>
      <c r="F17" s="3">
        <f t="shared" si="0"/>
        <v>1.2666666666666666</v>
      </c>
      <c r="G17" s="1">
        <f t="shared" si="1"/>
        <v>58</v>
      </c>
      <c r="H17" s="1" t="str">
        <f>IF(F17&gt;=8,"ناجح","راسب")</f>
        <v>راسب</v>
      </c>
    </row>
    <row r="18" spans="1:8" ht="15" thickTop="1" thickBot="1" x14ac:dyDescent="0.3">
      <c r="A18" s="1">
        <v>17</v>
      </c>
      <c r="B18" s="1" t="s">
        <v>24</v>
      </c>
      <c r="C18" s="3">
        <v>10.5</v>
      </c>
      <c r="D18" s="3">
        <v>10.6</v>
      </c>
      <c r="E18" s="4">
        <v>0</v>
      </c>
      <c r="F18" s="3">
        <f t="shared" si="0"/>
        <v>7.0333333333333341</v>
      </c>
      <c r="G18" s="1">
        <f t="shared" si="1"/>
        <v>37</v>
      </c>
      <c r="H18" s="1" t="str">
        <f>IF(F18&gt;=8,"ناجح","راسب")</f>
        <v>راسب</v>
      </c>
    </row>
    <row r="19" spans="1:8" ht="15" thickTop="1" thickBot="1" x14ac:dyDescent="0.3">
      <c r="A19" s="1">
        <v>18</v>
      </c>
      <c r="B19" s="1" t="s">
        <v>25</v>
      </c>
      <c r="C19" s="3">
        <v>7.8</v>
      </c>
      <c r="D19" s="3">
        <v>13.4</v>
      </c>
      <c r="E19" s="4">
        <v>11</v>
      </c>
      <c r="F19" s="3">
        <f t="shared" si="0"/>
        <v>10.733333333333334</v>
      </c>
      <c r="G19" s="1">
        <f t="shared" si="1"/>
        <v>21</v>
      </c>
      <c r="H19" s="1" t="str">
        <f>IF(F19&gt;=8,"ناجح بتقدير مقبول","راسب")</f>
        <v>ناجح بتقدير مقبول</v>
      </c>
    </row>
    <row r="20" spans="1:8" ht="15" thickTop="1" thickBot="1" x14ac:dyDescent="0.3">
      <c r="A20" s="1">
        <v>19</v>
      </c>
      <c r="B20" s="1" t="s">
        <v>26</v>
      </c>
      <c r="C20" s="3">
        <v>12.15</v>
      </c>
      <c r="D20" s="3">
        <v>13.1</v>
      </c>
      <c r="E20" s="4">
        <v>12.8</v>
      </c>
      <c r="F20" s="3">
        <f t="shared" si="0"/>
        <v>12.683333333333332</v>
      </c>
      <c r="G20" s="1">
        <f t="shared" si="1"/>
        <v>9</v>
      </c>
      <c r="H20" s="1" t="str">
        <f>IF(F20&gt;=8,"ناجح بتقدير جيد","راسب")</f>
        <v>ناجح بتقدير جيد</v>
      </c>
    </row>
    <row r="21" spans="1:8" ht="15" thickTop="1" thickBot="1" x14ac:dyDescent="0.3">
      <c r="A21" s="1">
        <v>20</v>
      </c>
      <c r="B21" s="1" t="s">
        <v>27</v>
      </c>
      <c r="C21" s="3">
        <v>9</v>
      </c>
      <c r="D21" s="3">
        <v>12.2</v>
      </c>
      <c r="E21" s="4">
        <v>11.35</v>
      </c>
      <c r="F21" s="3">
        <f t="shared" si="0"/>
        <v>10.85</v>
      </c>
      <c r="G21" s="1">
        <f t="shared" si="1"/>
        <v>19</v>
      </c>
      <c r="H21" s="1" t="str">
        <f>IF(F21&gt;=8,"ناجح بتقدير مقبول","راسب")</f>
        <v>ناجح بتقدير مقبول</v>
      </c>
    </row>
    <row r="22" spans="1:8" ht="15" thickTop="1" thickBot="1" x14ac:dyDescent="0.3">
      <c r="A22" s="1">
        <v>21</v>
      </c>
      <c r="B22" s="1" t="s">
        <v>28</v>
      </c>
      <c r="C22" s="3">
        <v>9.4</v>
      </c>
      <c r="D22" s="3">
        <v>15</v>
      </c>
      <c r="E22" s="4">
        <v>15.2</v>
      </c>
      <c r="F22" s="3">
        <f t="shared" si="0"/>
        <v>13.199999999999998</v>
      </c>
      <c r="G22" s="1">
        <f t="shared" si="1"/>
        <v>8</v>
      </c>
      <c r="H22" s="1" t="str">
        <f>IF(F22&gt;=8,"ناجح بتقدير جيد","راسب")</f>
        <v>ناجح بتقدير جيد</v>
      </c>
    </row>
    <row r="23" spans="1:8" ht="15" thickTop="1" thickBot="1" x14ac:dyDescent="0.3">
      <c r="A23" s="1">
        <v>22</v>
      </c>
      <c r="B23" s="1" t="s">
        <v>29</v>
      </c>
      <c r="C23" s="3">
        <v>11.9</v>
      </c>
      <c r="D23" s="3">
        <v>8.1</v>
      </c>
      <c r="E23" s="4">
        <v>8.3000000000000007</v>
      </c>
      <c r="F23" s="3">
        <f t="shared" si="0"/>
        <v>9.4333333333333336</v>
      </c>
      <c r="G23" s="1">
        <f t="shared" si="1"/>
        <v>26</v>
      </c>
      <c r="H23" s="1" t="str">
        <f>IF(F23&gt;=8,"ناجح ملحق","راسب")</f>
        <v>ناجح ملحق</v>
      </c>
    </row>
    <row r="24" spans="1:8" ht="15" thickTop="1" thickBot="1" x14ac:dyDescent="0.3">
      <c r="A24" s="1">
        <v>23</v>
      </c>
      <c r="B24" s="1" t="s">
        <v>30</v>
      </c>
      <c r="C24" s="3">
        <v>7.1</v>
      </c>
      <c r="D24" s="3">
        <v>10</v>
      </c>
      <c r="E24" s="4">
        <v>8.5</v>
      </c>
      <c r="F24" s="3">
        <f t="shared" si="0"/>
        <v>8.5333333333333332</v>
      </c>
      <c r="G24" s="1">
        <f t="shared" si="1"/>
        <v>29</v>
      </c>
      <c r="H24" s="1" t="str">
        <f>IF(F24&gt;=8,"ناجح ملحق","راسب")</f>
        <v>ناجح ملحق</v>
      </c>
    </row>
    <row r="25" spans="1:8" ht="15" thickTop="1" thickBot="1" x14ac:dyDescent="0.3">
      <c r="A25" s="1">
        <v>24</v>
      </c>
      <c r="B25" s="1" t="s">
        <v>31</v>
      </c>
      <c r="C25" s="3">
        <v>3.2</v>
      </c>
      <c r="D25" s="3">
        <v>1.5</v>
      </c>
      <c r="E25" s="4">
        <v>0</v>
      </c>
      <c r="F25" s="3">
        <f t="shared" si="0"/>
        <v>1.5666666666666667</v>
      </c>
      <c r="G25" s="1">
        <f t="shared" si="1"/>
        <v>57</v>
      </c>
      <c r="H25" s="1" t="str">
        <f>IF(F25&gt;=8,"ناجح","راسب")</f>
        <v>راسب</v>
      </c>
    </row>
    <row r="26" spans="1:8" ht="15" thickTop="1" thickBot="1" x14ac:dyDescent="0.3">
      <c r="A26" s="1">
        <v>25</v>
      </c>
      <c r="B26" s="1" t="s">
        <v>32</v>
      </c>
      <c r="C26" s="3">
        <v>5.85</v>
      </c>
      <c r="D26" s="3">
        <v>7</v>
      </c>
      <c r="E26" s="4">
        <v>5</v>
      </c>
      <c r="F26" s="3">
        <f t="shared" si="0"/>
        <v>5.95</v>
      </c>
      <c r="G26" s="1">
        <f t="shared" si="1"/>
        <v>47</v>
      </c>
      <c r="H26" s="1" t="str">
        <f>IF(F26&gt;=8,"ناجح","راسب")</f>
        <v>راسب</v>
      </c>
    </row>
    <row r="27" spans="1:8" ht="15" thickTop="1" thickBot="1" x14ac:dyDescent="0.3">
      <c r="A27" s="1">
        <v>26</v>
      </c>
      <c r="B27" s="1" t="s">
        <v>33</v>
      </c>
      <c r="C27" s="3">
        <v>2.5</v>
      </c>
      <c r="D27" s="3">
        <v>7.4</v>
      </c>
      <c r="E27" s="4">
        <v>5.0999999999999996</v>
      </c>
      <c r="F27" s="3">
        <f t="shared" si="0"/>
        <v>5</v>
      </c>
      <c r="G27" s="1">
        <f t="shared" si="1"/>
        <v>50</v>
      </c>
      <c r="H27" s="1" t="str">
        <f>IF(F27&gt;=8,"ناجح","راسب")</f>
        <v>راسب</v>
      </c>
    </row>
    <row r="28" spans="1:8" ht="15" thickTop="1" thickBot="1" x14ac:dyDescent="0.3">
      <c r="A28" s="1">
        <v>27</v>
      </c>
      <c r="B28" s="1" t="s">
        <v>34</v>
      </c>
      <c r="C28" s="3">
        <v>10.1</v>
      </c>
      <c r="D28" s="3">
        <v>14</v>
      </c>
      <c r="E28" s="4">
        <v>13.1</v>
      </c>
      <c r="F28" s="3">
        <f t="shared" si="0"/>
        <v>12.4</v>
      </c>
      <c r="G28" s="1">
        <f t="shared" si="1"/>
        <v>10</v>
      </c>
      <c r="H28" s="1" t="str">
        <f>IF(F28&gt;=8,"ناجح بتقدير جيد","راسب")</f>
        <v>ناجح بتقدير جيد</v>
      </c>
    </row>
    <row r="29" spans="1:8" ht="15" thickTop="1" thickBot="1" x14ac:dyDescent="0.3">
      <c r="A29" s="1">
        <v>28</v>
      </c>
      <c r="B29" s="1" t="s">
        <v>35</v>
      </c>
      <c r="C29" s="3">
        <v>10.55</v>
      </c>
      <c r="D29" s="3">
        <v>11.4</v>
      </c>
      <c r="E29" s="4">
        <v>11.6</v>
      </c>
      <c r="F29" s="3">
        <f t="shared" si="0"/>
        <v>11.183333333333335</v>
      </c>
      <c r="G29" s="1">
        <f t="shared" si="1"/>
        <v>17</v>
      </c>
      <c r="H29" s="1" t="str">
        <f>IF(F29&gt;=8,"ناجح بتقدير جيد","راسب")</f>
        <v>ناجح بتقدير جيد</v>
      </c>
    </row>
    <row r="30" spans="1:8" ht="15" thickTop="1" thickBot="1" x14ac:dyDescent="0.3">
      <c r="A30" s="1">
        <v>29</v>
      </c>
      <c r="B30" s="1" t="s">
        <v>36</v>
      </c>
      <c r="C30" s="3">
        <v>16.55</v>
      </c>
      <c r="D30" s="3">
        <v>16.7</v>
      </c>
      <c r="E30" s="4">
        <v>15</v>
      </c>
      <c r="F30" s="3">
        <f t="shared" si="0"/>
        <v>16.083333333333332</v>
      </c>
      <c r="G30" s="1">
        <f t="shared" si="1"/>
        <v>3</v>
      </c>
      <c r="H30" s="1" t="str">
        <f>IF(F30&gt;=8,"ناجح بتقدير متميز","راسب")</f>
        <v>ناجح بتقدير متميز</v>
      </c>
    </row>
    <row r="31" spans="1:8" ht="15" thickTop="1" thickBot="1" x14ac:dyDescent="0.3">
      <c r="A31" s="1">
        <v>30</v>
      </c>
      <c r="B31" s="1" t="s">
        <v>37</v>
      </c>
      <c r="C31" s="3">
        <v>11.9</v>
      </c>
      <c r="D31" s="3">
        <v>12.8</v>
      </c>
      <c r="E31" s="4">
        <v>9.6</v>
      </c>
      <c r="F31" s="3">
        <f t="shared" si="0"/>
        <v>11.433333333333335</v>
      </c>
      <c r="G31" s="1">
        <f t="shared" si="1"/>
        <v>13</v>
      </c>
      <c r="H31" s="1" t="str">
        <f>IF(F31&gt;=8,"ناجح بتقدير جيد","راسب")</f>
        <v>ناجح بتقدير جيد</v>
      </c>
    </row>
    <row r="32" spans="1:8" ht="15" thickTop="1" thickBot="1" x14ac:dyDescent="0.3">
      <c r="A32" s="1">
        <v>31</v>
      </c>
      <c r="B32" s="1" t="s">
        <v>38</v>
      </c>
      <c r="C32" s="3">
        <v>7.65</v>
      </c>
      <c r="D32" s="3">
        <v>11.6</v>
      </c>
      <c r="E32" s="4">
        <v>11.6</v>
      </c>
      <c r="F32" s="3">
        <f t="shared" si="0"/>
        <v>10.283333333333333</v>
      </c>
      <c r="G32" s="1">
        <f t="shared" si="1"/>
        <v>23</v>
      </c>
      <c r="H32" s="1" t="str">
        <f>IF(F32&gt;=8,"ناجح بتقدير مقبول","راسب")</f>
        <v>ناجح بتقدير مقبول</v>
      </c>
    </row>
    <row r="33" spans="1:8" ht="15" thickTop="1" thickBot="1" x14ac:dyDescent="0.3">
      <c r="A33" s="1">
        <v>32</v>
      </c>
      <c r="B33" s="1" t="s">
        <v>39</v>
      </c>
      <c r="C33" s="3">
        <v>7.05</v>
      </c>
      <c r="D33" s="3">
        <v>8.4</v>
      </c>
      <c r="E33" s="4">
        <v>6.5</v>
      </c>
      <c r="F33" s="3">
        <f t="shared" si="0"/>
        <v>7.3166666666666664</v>
      </c>
      <c r="G33" s="1">
        <f t="shared" si="1"/>
        <v>34</v>
      </c>
      <c r="H33" s="1" t="str">
        <f>IF(F33&gt;=8,"ناجح","راسب")</f>
        <v>راسب</v>
      </c>
    </row>
    <row r="34" spans="1:8" ht="15" thickTop="1" thickBot="1" x14ac:dyDescent="0.3">
      <c r="A34" s="1">
        <v>33</v>
      </c>
      <c r="B34" s="1" t="s">
        <v>40</v>
      </c>
      <c r="C34" s="3">
        <v>6.2</v>
      </c>
      <c r="D34" s="3">
        <v>9.1999999999999993</v>
      </c>
      <c r="E34" s="4">
        <v>5.4</v>
      </c>
      <c r="F34" s="3">
        <f t="shared" si="0"/>
        <v>6.9333333333333327</v>
      </c>
      <c r="G34" s="1">
        <f t="shared" si="1"/>
        <v>38</v>
      </c>
      <c r="H34" s="1" t="str">
        <f>IF(F34&gt;=8,"ناجح","راسب")</f>
        <v>راسب</v>
      </c>
    </row>
    <row r="35" spans="1:8" ht="15" thickTop="1" thickBot="1" x14ac:dyDescent="0.3">
      <c r="A35" s="1">
        <v>34</v>
      </c>
      <c r="B35" s="1" t="s">
        <v>41</v>
      </c>
      <c r="C35" s="3">
        <v>7.4</v>
      </c>
      <c r="D35" s="3">
        <v>10.9</v>
      </c>
      <c r="E35" s="4">
        <v>12.1</v>
      </c>
      <c r="F35" s="3">
        <f t="shared" si="0"/>
        <v>10.133333333333333</v>
      </c>
      <c r="G35" s="1">
        <f t="shared" si="1"/>
        <v>24</v>
      </c>
      <c r="H35" s="1" t="str">
        <f>IF(F35&gt;=8,"ناجح بتقدير مقبول","راسب")</f>
        <v>ناجح بتقدير مقبول</v>
      </c>
    </row>
    <row r="36" spans="1:8" ht="15" thickTop="1" thickBot="1" x14ac:dyDescent="0.3">
      <c r="A36" s="1">
        <v>35</v>
      </c>
      <c r="B36" s="1" t="s">
        <v>42</v>
      </c>
      <c r="C36" s="3">
        <v>7.7</v>
      </c>
      <c r="D36" s="3">
        <v>10.8</v>
      </c>
      <c r="E36" s="4">
        <v>9.6</v>
      </c>
      <c r="F36" s="3">
        <f t="shared" si="0"/>
        <v>9.3666666666666671</v>
      </c>
      <c r="G36" s="1">
        <f t="shared" si="1"/>
        <v>27</v>
      </c>
      <c r="H36" s="1" t="str">
        <f>IF(F36&gt;=8,"ناجح ملحق","راسب")</f>
        <v>ناجح ملحق</v>
      </c>
    </row>
    <row r="37" spans="1:8" ht="15" thickTop="1" thickBot="1" x14ac:dyDescent="0.3">
      <c r="A37" s="1">
        <v>36</v>
      </c>
      <c r="B37" s="1" t="s">
        <v>43</v>
      </c>
      <c r="C37" s="3">
        <v>6.6</v>
      </c>
      <c r="D37" s="3">
        <v>9</v>
      </c>
      <c r="E37" s="4">
        <v>8.1999999999999993</v>
      </c>
      <c r="F37" s="3">
        <f t="shared" si="0"/>
        <v>7.9333333333333327</v>
      </c>
      <c r="G37" s="1">
        <f t="shared" si="1"/>
        <v>31</v>
      </c>
      <c r="H37" s="1" t="str">
        <f>IF(F37&gt;=8,"ناجح","راسب")</f>
        <v>راسب</v>
      </c>
    </row>
    <row r="38" spans="1:8" ht="15" thickTop="1" thickBot="1" x14ac:dyDescent="0.3">
      <c r="A38" s="1">
        <v>37</v>
      </c>
      <c r="B38" s="1" t="s">
        <v>44</v>
      </c>
      <c r="C38" s="3">
        <v>5.6</v>
      </c>
      <c r="D38" s="3">
        <v>6.7</v>
      </c>
      <c r="E38" s="4">
        <v>6.5</v>
      </c>
      <c r="F38" s="3">
        <f t="shared" si="0"/>
        <v>6.2666666666666666</v>
      </c>
      <c r="G38" s="1">
        <f t="shared" si="1"/>
        <v>44</v>
      </c>
      <c r="H38" s="1" t="str">
        <f>IF(F38&gt;=8,"ناجح","راسب")</f>
        <v>راسب</v>
      </c>
    </row>
    <row r="39" spans="1:8" ht="15" thickTop="1" thickBot="1" x14ac:dyDescent="0.3">
      <c r="A39" s="1">
        <v>38</v>
      </c>
      <c r="B39" s="1" t="s">
        <v>45</v>
      </c>
      <c r="C39" s="3">
        <v>3</v>
      </c>
      <c r="D39" s="3">
        <v>5.5</v>
      </c>
      <c r="E39" s="4">
        <v>0</v>
      </c>
      <c r="F39" s="3">
        <f t="shared" si="0"/>
        <v>2.8333333333333335</v>
      </c>
      <c r="G39" s="1">
        <f t="shared" si="1"/>
        <v>55</v>
      </c>
      <c r="H39" s="1" t="str">
        <f>IF(F39&gt;=8,"ناجح","راسب")</f>
        <v>راسب</v>
      </c>
    </row>
    <row r="40" spans="1:8" ht="15" thickTop="1" thickBot="1" x14ac:dyDescent="0.3">
      <c r="A40" s="1">
        <v>39</v>
      </c>
      <c r="B40" s="1" t="s">
        <v>46</v>
      </c>
      <c r="C40" s="3">
        <v>8.8000000000000007</v>
      </c>
      <c r="D40" s="3">
        <v>6.9</v>
      </c>
      <c r="E40" s="4">
        <v>1.7</v>
      </c>
      <c r="F40" s="3">
        <f t="shared" si="0"/>
        <v>5.8000000000000007</v>
      </c>
      <c r="G40" s="1">
        <f t="shared" si="1"/>
        <v>48</v>
      </c>
      <c r="H40" s="1" t="str">
        <f>IF(F40&gt;=8,"ناجح","راسب")</f>
        <v>راسب</v>
      </c>
    </row>
    <row r="41" spans="1:8" ht="15" thickTop="1" thickBot="1" x14ac:dyDescent="0.3">
      <c r="A41" s="1">
        <v>40</v>
      </c>
      <c r="B41" s="1" t="s">
        <v>47</v>
      </c>
      <c r="C41" s="3">
        <v>7.85</v>
      </c>
      <c r="D41" s="3">
        <v>13.3</v>
      </c>
      <c r="E41" s="4">
        <v>12.9</v>
      </c>
      <c r="F41" s="3">
        <f t="shared" si="0"/>
        <v>11.35</v>
      </c>
      <c r="G41" s="1">
        <f t="shared" si="1"/>
        <v>15</v>
      </c>
      <c r="H41" s="1" t="str">
        <f>IF(F41&gt;=8,"ناجح بتقدير جيد","راسب")</f>
        <v>ناجح بتقدير جيد</v>
      </c>
    </row>
    <row r="42" spans="1:8" ht="15" thickTop="1" thickBot="1" x14ac:dyDescent="0.3">
      <c r="A42" s="1">
        <v>41</v>
      </c>
      <c r="B42" s="1" t="s">
        <v>48</v>
      </c>
      <c r="C42" s="3">
        <v>8.3000000000000007</v>
      </c>
      <c r="D42" s="3">
        <v>13</v>
      </c>
      <c r="E42" s="4">
        <v>13</v>
      </c>
      <c r="F42" s="3">
        <f t="shared" si="0"/>
        <v>11.433333333333332</v>
      </c>
      <c r="G42" s="1">
        <f t="shared" si="1"/>
        <v>14</v>
      </c>
      <c r="H42" s="1" t="str">
        <f>IF(F42&gt;=8,"ناجح بتقدير جيد","راسب")</f>
        <v>ناجح بتقدير جيد</v>
      </c>
    </row>
    <row r="43" spans="1:8" ht="15" thickTop="1" thickBot="1" x14ac:dyDescent="0.3">
      <c r="A43" s="1">
        <v>42</v>
      </c>
      <c r="B43" s="1" t="s">
        <v>49</v>
      </c>
      <c r="C43" s="3">
        <v>6</v>
      </c>
      <c r="D43" s="3">
        <v>7.1</v>
      </c>
      <c r="E43" s="4">
        <v>5.9</v>
      </c>
      <c r="F43" s="3">
        <f t="shared" si="0"/>
        <v>6.333333333333333</v>
      </c>
      <c r="G43" s="1">
        <f t="shared" si="1"/>
        <v>43</v>
      </c>
      <c r="H43" s="1" t="str">
        <f>IF(F43&gt;=8,"ناجح","راسب")</f>
        <v>راسب</v>
      </c>
    </row>
    <row r="44" spans="1:8" ht="15" thickTop="1" thickBot="1" x14ac:dyDescent="0.3">
      <c r="A44" s="1">
        <v>43</v>
      </c>
      <c r="B44" s="1" t="s">
        <v>50</v>
      </c>
      <c r="C44" s="3">
        <v>7.25</v>
      </c>
      <c r="D44" s="3">
        <v>13.3</v>
      </c>
      <c r="E44" s="4">
        <v>11.7</v>
      </c>
      <c r="F44" s="3">
        <f t="shared" si="0"/>
        <v>10.75</v>
      </c>
      <c r="G44" s="1">
        <f t="shared" si="1"/>
        <v>20</v>
      </c>
      <c r="H44" s="1" t="str">
        <f>IF(F44&gt;=8,"ناجح بتقدير مقبول","راسب")</f>
        <v>ناجح بتقدير مقبول</v>
      </c>
    </row>
    <row r="45" spans="1:8" ht="15" thickTop="1" thickBot="1" x14ac:dyDescent="0.3">
      <c r="A45" s="1">
        <v>44</v>
      </c>
      <c r="B45" s="1" t="s">
        <v>51</v>
      </c>
      <c r="C45" s="3">
        <v>10.45</v>
      </c>
      <c r="D45" s="3">
        <v>13.4</v>
      </c>
      <c r="E45" s="4">
        <v>16.7</v>
      </c>
      <c r="F45" s="3">
        <f t="shared" si="0"/>
        <v>13.516666666666666</v>
      </c>
      <c r="G45" s="1">
        <f t="shared" si="1"/>
        <v>6</v>
      </c>
      <c r="H45" s="1" t="str">
        <f>IF(F45&gt;=8,"ناجح بتقدير جيد","راسب")</f>
        <v>ناجح بتقدير جيد</v>
      </c>
    </row>
    <row r="46" spans="1:8" ht="15" thickTop="1" thickBot="1" x14ac:dyDescent="0.3">
      <c r="A46" s="1">
        <v>45</v>
      </c>
      <c r="B46" s="1" t="s">
        <v>52</v>
      </c>
      <c r="C46" s="3">
        <v>5.6</v>
      </c>
      <c r="D46" s="3">
        <v>7.6</v>
      </c>
      <c r="E46" s="4">
        <v>6.3</v>
      </c>
      <c r="F46" s="3">
        <f t="shared" si="0"/>
        <v>6.5</v>
      </c>
      <c r="G46" s="1">
        <f t="shared" si="1"/>
        <v>42</v>
      </c>
      <c r="H46" s="1" t="str">
        <f>IF(F46&gt;=8,"ناجح","راسب")</f>
        <v>راسب</v>
      </c>
    </row>
    <row r="47" spans="1:8" ht="15" thickTop="1" thickBot="1" x14ac:dyDescent="0.3">
      <c r="A47" s="1">
        <v>46</v>
      </c>
      <c r="B47" s="1" t="s">
        <v>53</v>
      </c>
      <c r="C47" s="3">
        <v>3.4</v>
      </c>
      <c r="D47" s="3">
        <v>7.5</v>
      </c>
      <c r="E47" s="4">
        <v>7.4</v>
      </c>
      <c r="F47" s="3">
        <f t="shared" si="0"/>
        <v>6.1000000000000005</v>
      </c>
      <c r="G47" s="1">
        <f t="shared" si="1"/>
        <v>45</v>
      </c>
      <c r="H47" s="1" t="str">
        <f>IF(F47&gt;=8,"ناجح","راسب")</f>
        <v>راسب</v>
      </c>
    </row>
    <row r="48" spans="1:8" ht="15" thickTop="1" thickBot="1" x14ac:dyDescent="0.3">
      <c r="A48" s="1">
        <v>47</v>
      </c>
      <c r="B48" s="1" t="s">
        <v>54</v>
      </c>
      <c r="C48" s="3">
        <v>10.35</v>
      </c>
      <c r="D48" s="3">
        <v>14.1</v>
      </c>
      <c r="E48" s="4">
        <v>11.7</v>
      </c>
      <c r="F48" s="3">
        <f t="shared" si="0"/>
        <v>12.049999999999999</v>
      </c>
      <c r="G48" s="1">
        <f t="shared" si="1"/>
        <v>11</v>
      </c>
      <c r="H48" s="1" t="str">
        <f>IF(F48&gt;=8,"ناجح بتقدير جيد","راسب")</f>
        <v>ناجح بتقدير جيد</v>
      </c>
    </row>
    <row r="49" spans="1:8" ht="15" thickTop="1" thickBot="1" x14ac:dyDescent="0.3">
      <c r="A49" s="1">
        <v>48</v>
      </c>
      <c r="B49" s="1" t="s">
        <v>55</v>
      </c>
      <c r="C49" s="3">
        <v>3.9</v>
      </c>
      <c r="D49" s="3">
        <v>4.5</v>
      </c>
      <c r="E49" s="4">
        <v>4.8</v>
      </c>
      <c r="F49" s="3">
        <f t="shared" si="0"/>
        <v>4.3999999999999995</v>
      </c>
      <c r="G49" s="1">
        <f t="shared" si="1"/>
        <v>51</v>
      </c>
      <c r="H49" s="1" t="str">
        <f t="shared" ref="H49:H54" si="2">IF(F49&gt;=8,"ناجح","راسب")</f>
        <v>راسب</v>
      </c>
    </row>
    <row r="50" spans="1:8" ht="15" thickTop="1" thickBot="1" x14ac:dyDescent="0.3">
      <c r="A50" s="1">
        <v>49</v>
      </c>
      <c r="B50" s="1" t="s">
        <v>56</v>
      </c>
      <c r="C50" s="3">
        <v>6.65</v>
      </c>
      <c r="D50" s="3">
        <v>6.2</v>
      </c>
      <c r="E50" s="4">
        <v>5.2</v>
      </c>
      <c r="F50" s="3">
        <f t="shared" si="0"/>
        <v>6.0166666666666666</v>
      </c>
      <c r="G50" s="1">
        <f t="shared" si="1"/>
        <v>46</v>
      </c>
      <c r="H50" s="1" t="str">
        <f t="shared" si="2"/>
        <v>راسب</v>
      </c>
    </row>
    <row r="51" spans="1:8" ht="15" thickTop="1" thickBot="1" x14ac:dyDescent="0.3">
      <c r="A51" s="1">
        <v>50</v>
      </c>
      <c r="B51" s="1" t="s">
        <v>57</v>
      </c>
      <c r="C51" s="3">
        <v>6.8</v>
      </c>
      <c r="D51" s="3">
        <v>7.8</v>
      </c>
      <c r="E51" s="4">
        <v>5.5</v>
      </c>
      <c r="F51" s="3">
        <f t="shared" si="0"/>
        <v>6.7</v>
      </c>
      <c r="G51" s="1">
        <f t="shared" si="1"/>
        <v>40</v>
      </c>
      <c r="H51" s="1" t="str">
        <f t="shared" si="2"/>
        <v>راسب</v>
      </c>
    </row>
    <row r="52" spans="1:8" ht="15" thickTop="1" thickBot="1" x14ac:dyDescent="0.3">
      <c r="A52" s="1">
        <v>51</v>
      </c>
      <c r="B52" s="1" t="s">
        <v>58</v>
      </c>
      <c r="C52" s="3">
        <v>6</v>
      </c>
      <c r="D52" s="3">
        <v>8.6</v>
      </c>
      <c r="E52" s="4">
        <v>7.9</v>
      </c>
      <c r="F52" s="3">
        <f t="shared" si="0"/>
        <v>7.5</v>
      </c>
      <c r="G52" s="1">
        <f t="shared" si="1"/>
        <v>33</v>
      </c>
      <c r="H52" s="1" t="str">
        <f t="shared" si="2"/>
        <v>راسب</v>
      </c>
    </row>
    <row r="53" spans="1:8" ht="15" thickTop="1" thickBot="1" x14ac:dyDescent="0.3">
      <c r="A53" s="1">
        <v>52</v>
      </c>
      <c r="B53" s="1" t="s">
        <v>59</v>
      </c>
      <c r="C53" s="3">
        <v>6.05</v>
      </c>
      <c r="D53" s="3">
        <v>0</v>
      </c>
      <c r="E53" s="4">
        <v>0</v>
      </c>
      <c r="F53" s="3">
        <f t="shared" si="0"/>
        <v>2.0166666666666666</v>
      </c>
      <c r="G53" s="1">
        <f t="shared" si="1"/>
        <v>56</v>
      </c>
      <c r="H53" s="1" t="str">
        <f t="shared" si="2"/>
        <v>راسب</v>
      </c>
    </row>
    <row r="54" spans="1:8" ht="15" thickTop="1" thickBot="1" x14ac:dyDescent="0.3">
      <c r="A54" s="1">
        <v>53</v>
      </c>
      <c r="B54" s="1" t="s">
        <v>60</v>
      </c>
      <c r="C54" s="3">
        <v>6.95</v>
      </c>
      <c r="D54" s="3">
        <v>6.9</v>
      </c>
      <c r="E54" s="4">
        <v>6.6</v>
      </c>
      <c r="F54" s="3">
        <f t="shared" si="0"/>
        <v>6.8166666666666673</v>
      </c>
      <c r="G54" s="1">
        <f t="shared" si="1"/>
        <v>39</v>
      </c>
      <c r="H54" s="1" t="str">
        <f t="shared" si="2"/>
        <v>راسب</v>
      </c>
    </row>
    <row r="55" spans="1:8" ht="15" thickTop="1" thickBot="1" x14ac:dyDescent="0.3">
      <c r="A55" s="1">
        <v>54</v>
      </c>
      <c r="B55" s="1" t="s">
        <v>61</v>
      </c>
      <c r="C55" s="3">
        <v>9.6</v>
      </c>
      <c r="D55" s="3">
        <v>12.6</v>
      </c>
      <c r="E55" s="4">
        <v>12.7</v>
      </c>
      <c r="F55" s="3">
        <f t="shared" si="0"/>
        <v>11.633333333333333</v>
      </c>
      <c r="G55" s="1">
        <f t="shared" si="1"/>
        <v>12</v>
      </c>
      <c r="H55" s="1" t="str">
        <f>IF(F55&gt;=8,"ناجح بتقدير جيد","راسب")</f>
        <v>ناجح بتقدير جيد</v>
      </c>
    </row>
    <row r="56" spans="1:8" ht="15" thickTop="1" thickBot="1" x14ac:dyDescent="0.3">
      <c r="A56" s="1">
        <v>55</v>
      </c>
      <c r="B56" s="1" t="s">
        <v>62</v>
      </c>
      <c r="C56" s="3">
        <v>7.7</v>
      </c>
      <c r="D56" s="3">
        <v>7.4</v>
      </c>
      <c r="E56" s="4">
        <v>8.8000000000000007</v>
      </c>
      <c r="F56" s="3">
        <f t="shared" si="0"/>
        <v>7.9666666666666677</v>
      </c>
      <c r="G56" s="1">
        <f t="shared" si="1"/>
        <v>30</v>
      </c>
      <c r="H56" s="1" t="str">
        <f>IF(F56&gt;=8,"ناجح","راسب")</f>
        <v>راسب</v>
      </c>
    </row>
    <row r="57" spans="1:8" ht="15" thickTop="1" thickBot="1" x14ac:dyDescent="0.3">
      <c r="A57" s="1">
        <v>56</v>
      </c>
      <c r="B57" s="1" t="s">
        <v>63</v>
      </c>
      <c r="C57" s="3">
        <v>14.2</v>
      </c>
      <c r="D57" s="3">
        <v>16.899999999999999</v>
      </c>
      <c r="E57" s="4">
        <v>16.45</v>
      </c>
      <c r="F57" s="3">
        <f t="shared" si="0"/>
        <v>15.85</v>
      </c>
      <c r="G57" s="1">
        <f t="shared" si="1"/>
        <v>5</v>
      </c>
      <c r="H57" s="1" t="str">
        <f>IF(F57&gt;=8," ناجح بتقدير متفوق ","راسب")</f>
        <v xml:space="preserve"> ناجح بتقدير متفوق </v>
      </c>
    </row>
    <row r="58" spans="1:8" ht="15" thickTop="1" thickBot="1" x14ac:dyDescent="0.3">
      <c r="A58" s="1">
        <v>57</v>
      </c>
      <c r="B58" s="1" t="s">
        <v>64</v>
      </c>
      <c r="C58" s="3">
        <v>0</v>
      </c>
      <c r="D58" s="3">
        <v>8.1</v>
      </c>
      <c r="E58" s="4">
        <v>7.7</v>
      </c>
      <c r="F58" s="3">
        <f t="shared" si="0"/>
        <v>5.2666666666666666</v>
      </c>
      <c r="G58" s="1">
        <f t="shared" si="1"/>
        <v>49</v>
      </c>
      <c r="H58" s="1" t="str">
        <f>IF(F58&gt;=8,"ناجح","راسب")</f>
        <v>راسب</v>
      </c>
    </row>
    <row r="59" spans="1:8" ht="15" thickTop="1" thickBot="1" x14ac:dyDescent="0.3">
      <c r="A59" s="1">
        <v>58</v>
      </c>
      <c r="B59" s="1" t="s">
        <v>65</v>
      </c>
      <c r="C59" s="3">
        <v>7.5</v>
      </c>
      <c r="D59" s="3">
        <v>2.4</v>
      </c>
      <c r="E59" s="4">
        <v>0</v>
      </c>
      <c r="F59" s="3">
        <f t="shared" si="0"/>
        <v>3.3000000000000003</v>
      </c>
      <c r="G59" s="1">
        <f t="shared" si="1"/>
        <v>53</v>
      </c>
      <c r="H59" s="1" t="str">
        <f>IF(F59&gt;=8,"ناجح","راسب")</f>
        <v>راسب</v>
      </c>
    </row>
    <row r="60" spans="1:8" ht="15" thickTop="1" thickBot="1" x14ac:dyDescent="0.3">
      <c r="A60" s="1">
        <v>59</v>
      </c>
      <c r="B60" s="1" t="s">
        <v>66</v>
      </c>
      <c r="C60" s="3">
        <v>18.05</v>
      </c>
      <c r="D60" s="3"/>
      <c r="E60" s="4">
        <v>17.5</v>
      </c>
      <c r="F60" s="3">
        <f t="shared" si="0"/>
        <v>17.774999999999999</v>
      </c>
      <c r="G60" s="1">
        <f t="shared" si="1"/>
        <v>1</v>
      </c>
      <c r="H60" s="1" t="str">
        <f>IF(F60&gt;=8,"ناجح بتقدير متميز","راسب")</f>
        <v>ناجح بتقدير متميز</v>
      </c>
    </row>
    <row r="61" spans="1:8" ht="14.4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Baba Adel</cp:lastModifiedBy>
  <dcterms:created xsi:type="dcterms:W3CDTF">2015-06-05T18:17:20Z</dcterms:created>
  <dcterms:modified xsi:type="dcterms:W3CDTF">2026-06-09T11:01:09Z</dcterms:modified>
</cp:coreProperties>
</file>